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Нацен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&quot;%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color rgb="001F497D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385E72"/>
        <bgColor rgb="00385E72"/>
      </patternFill>
    </fill>
    <fill>
      <patternFill patternType="solid">
        <fgColor rgb="00D9E4EC"/>
        <bgColor rgb="00D9E4EC"/>
      </patternFill>
    </fill>
    <fill>
      <patternFill patternType="solid">
        <fgColor rgb="00FFFFFF"/>
        <bgColor rgb="00FFFFFF"/>
      </patternFill>
    </fill>
    <fill>
      <patternFill patternType="solid">
        <fgColor rgb="00FFFACD"/>
        <bgColor rgb="00FFFACD"/>
      </patternFill>
    </fill>
    <fill>
      <patternFill patternType="solid">
        <fgColor rgb="00E8E8E8"/>
        <bgColor rgb="00E8E8E8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0" borderId="0" pivotButton="0" quotePrefix="0" xfId="0"/>
    <xf numFmtId="16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Стоимость доставки</t>
        </is>
      </c>
    </row>
    <row r="2">
      <c r="A2" s="2" t="inlineStr">
        <is>
          <t>Стоимость доставки</t>
        </is>
      </c>
      <c r="B2" s="2" t="inlineStr">
        <is>
          <t>Конверт</t>
        </is>
      </c>
      <c r="C2" s="2" t="inlineStr">
        <is>
          <t>Посылка до 10 кг</t>
        </is>
      </c>
      <c r="D2" s="2" t="inlineStr">
        <is>
          <t>1 место до 30 кг</t>
        </is>
      </c>
      <c r="E2" s="2" t="inlineStr">
        <is>
          <t>Груз до 0,5 куба</t>
        </is>
      </c>
      <c r="F2" s="2" t="inlineStr">
        <is>
          <t>Груз до 100 кг</t>
        </is>
      </c>
      <c r="G2" s="2" t="inlineStr">
        <is>
          <t>Груз более 3000 кг</t>
        </is>
      </c>
    </row>
    <row r="3">
      <c r="A3" s="3" t="inlineStr">
        <is>
          <t>Адлер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GTD</t>
        </is>
      </c>
      <c r="B4" s="4">
        <f>410*(1+Наценки!B4/100)</f>
        <v/>
      </c>
      <c r="C4" s="4" t="n">
        <v>920</v>
      </c>
      <c r="D4" s="4" t="n">
        <v>920</v>
      </c>
      <c r="E4" s="4" t="n">
        <v>5664</v>
      </c>
      <c r="F4" s="4" t="n">
        <v>23.6</v>
      </c>
      <c r="G4" s="4" t="n">
        <v>20</v>
      </c>
    </row>
    <row r="5">
      <c r="A5" s="5" t="inlineStr">
        <is>
          <t>+10%</t>
        </is>
      </c>
      <c r="B5" s="5">
        <f>B4*(1+10.0/100)</f>
        <v/>
      </c>
      <c r="C5" s="5">
        <f>C4*(1+10.0/100)</f>
        <v/>
      </c>
      <c r="D5" s="5">
        <f>D4*(1+10.0/100)</f>
        <v/>
      </c>
      <c r="E5" s="5">
        <f>E4*(1+10.0/100)</f>
        <v/>
      </c>
      <c r="F5" s="5">
        <f>F4*(1+10.0/100)</f>
        <v/>
      </c>
      <c r="G5" s="5">
        <f>G4*(1+10.0/100)</f>
        <v/>
      </c>
    </row>
    <row r="6">
      <c r="A6" s="6" t="inlineStr">
        <is>
          <t>Среднее значение</t>
        </is>
      </c>
      <c r="B6" s="6">
        <f>AVERAGE(B4:B5)</f>
        <v/>
      </c>
      <c r="C6" s="6">
        <f>AVERAGE(C4:C5)</f>
        <v/>
      </c>
      <c r="D6" s="6">
        <f>AVERAGE(D4:D5)</f>
        <v/>
      </c>
      <c r="E6" s="6">
        <f>AVERAGE(E4:E5)</f>
        <v/>
      </c>
      <c r="F6" s="6">
        <f>AVERAGE(F4:F5)</f>
        <v/>
      </c>
      <c r="G6" s="6">
        <f>AVERAGE(G4:G5)</f>
        <v/>
      </c>
    </row>
    <row r="7">
      <c r="A7" s="7" t="inlineStr">
        <is>
          <t>Новая Витэка</t>
        </is>
      </c>
      <c r="B7" s="7" t="n"/>
      <c r="C7" s="7" t="n"/>
      <c r="D7" s="7" t="n"/>
      <c r="E7" s="7" t="n"/>
      <c r="F7" s="7" t="n"/>
      <c r="G7" s="7" t="n"/>
    </row>
    <row r="9">
      <c r="A9" s="2" t="inlineStr">
        <is>
          <t>Стоимость доставки</t>
        </is>
      </c>
      <c r="B9" s="2" t="inlineStr">
        <is>
          <t>Конверт</t>
        </is>
      </c>
      <c r="C9" s="2" t="inlineStr">
        <is>
          <t>Посылка до 10 кг</t>
        </is>
      </c>
      <c r="D9" s="2" t="inlineStr">
        <is>
          <t>1 место до 30 кг</t>
        </is>
      </c>
      <c r="E9" s="2" t="inlineStr">
        <is>
          <t>Груз до 0,5 куба</t>
        </is>
      </c>
      <c r="F9" s="2" t="inlineStr">
        <is>
          <t>Груз до 100 кг</t>
        </is>
      </c>
      <c r="G9" s="2" t="inlineStr">
        <is>
          <t>Груз более 3000 кг</t>
        </is>
      </c>
    </row>
    <row r="10">
      <c r="A10" s="3" t="inlineStr">
        <is>
          <t>Москва</t>
        </is>
      </c>
      <c r="B10" s="3" t="n"/>
      <c r="C10" s="3" t="n"/>
      <c r="D10" s="3" t="n"/>
      <c r="E10" s="3" t="n"/>
      <c r="F10" s="3" t="n"/>
      <c r="G10" s="3" t="n"/>
    </row>
    <row r="11">
      <c r="A11" s="4" t="inlineStr">
        <is>
          <t>GTD</t>
        </is>
      </c>
      <c r="B11" s="4">
        <f>270*(1+Наценки!B4/100)</f>
        <v/>
      </c>
      <c r="C11" s="4" t="n">
        <v>660</v>
      </c>
      <c r="D11" s="4" t="n">
        <v>660</v>
      </c>
      <c r="E11" s="4" t="n">
        <v>4104</v>
      </c>
      <c r="F11" s="4" t="n">
        <v>17.1</v>
      </c>
      <c r="G11" s="4" t="n">
        <v>13.8</v>
      </c>
    </row>
    <row r="12">
      <c r="A12" s="5" t="inlineStr">
        <is>
          <t>+10%</t>
        </is>
      </c>
      <c r="B12" s="5">
        <f>B11*(1+10.0/100)</f>
        <v/>
      </c>
      <c r="C12" s="5">
        <f>C11*(1+10.0/100)</f>
        <v/>
      </c>
      <c r="D12" s="5">
        <f>D11*(1+10.0/100)</f>
        <v/>
      </c>
      <c r="E12" s="5">
        <f>E11*(1+10.0/100)</f>
        <v/>
      </c>
      <c r="F12" s="5">
        <f>F11*(1+10.0/100)</f>
        <v/>
      </c>
      <c r="G12" s="5">
        <f>G11*(1+10.0/100)</f>
        <v/>
      </c>
    </row>
    <row r="13">
      <c r="A13" s="8" t="inlineStr">
        <is>
          <t>Деловые Линии</t>
        </is>
      </c>
      <c r="B13" s="8" t="n">
        <v>290</v>
      </c>
      <c r="C13" s="8" t="n">
        <v>450</v>
      </c>
      <c r="D13" s="8" t="n"/>
      <c r="E13" s="8" t="n">
        <v>5320</v>
      </c>
      <c r="F13" s="8" t="n">
        <v>26.6</v>
      </c>
      <c r="G13" s="8" t="n">
        <v>26.2</v>
      </c>
    </row>
    <row r="14">
      <c r="A14" s="6" t="inlineStr">
        <is>
          <t>Среднее значение</t>
        </is>
      </c>
      <c r="B14" s="6">
        <f>AVERAGE(B11:B13)</f>
        <v/>
      </c>
      <c r="C14" s="6">
        <f>AVERAGE(C11:C13)</f>
        <v/>
      </c>
      <c r="D14" s="6">
        <f>AVERAGE(D11:D13)</f>
        <v/>
      </c>
      <c r="E14" s="6">
        <f>AVERAGE(E11:E13)</f>
        <v/>
      </c>
      <c r="F14" s="6">
        <f>AVERAGE(F11:F13)</f>
        <v/>
      </c>
      <c r="G14" s="6">
        <f>AVERAGE(G11:G13)</f>
        <v/>
      </c>
    </row>
    <row r="15">
      <c r="A15" s="7" t="inlineStr">
        <is>
          <t>Новая Витэка</t>
        </is>
      </c>
      <c r="B15" s="7" t="n"/>
      <c r="C15" s="7" t="n"/>
      <c r="D15" s="7" t="n"/>
      <c r="E15" s="7" t="n"/>
      <c r="F15" s="7" t="n"/>
      <c r="G15" s="7" t="n"/>
    </row>
    <row r="17">
      <c r="A17" s="2" t="inlineStr">
        <is>
          <t>Стоимость доставки</t>
        </is>
      </c>
      <c r="B17" s="2" t="inlineStr">
        <is>
          <t>Конверт</t>
        </is>
      </c>
      <c r="C17" s="2" t="inlineStr">
        <is>
          <t>Посылка до 10 кг</t>
        </is>
      </c>
      <c r="D17" s="2" t="inlineStr">
        <is>
          <t>1 место до 30 кг</t>
        </is>
      </c>
      <c r="E17" s="2" t="inlineStr">
        <is>
          <t>Груз до 0,5 куба</t>
        </is>
      </c>
      <c r="F17" s="2" t="inlineStr">
        <is>
          <t>Груз до 100 кг</t>
        </is>
      </c>
      <c r="G17" s="2" t="inlineStr">
        <is>
          <t>Груз более 3000 кг</t>
        </is>
      </c>
    </row>
    <row r="18">
      <c r="A18" s="3" t="inlineStr">
        <is>
          <t>Новосибирск</t>
        </is>
      </c>
      <c r="B18" s="3" t="n"/>
      <c r="C18" s="3" t="n"/>
      <c r="D18" s="3" t="n"/>
      <c r="E18" s="3" t="n"/>
      <c r="F18" s="3" t="n"/>
      <c r="G18" s="3" t="n"/>
    </row>
    <row r="19">
      <c r="A19" s="4" t="inlineStr">
        <is>
          <t>GTD</t>
        </is>
      </c>
      <c r="B19" s="4">
        <f>250*(1+Наценки!B4/100)</f>
        <v/>
      </c>
      <c r="C19" s="4" t="n">
        <v>450</v>
      </c>
      <c r="D19" s="4" t="n">
        <v>450</v>
      </c>
      <c r="E19" s="4" t="n">
        <v>2448</v>
      </c>
      <c r="F19" s="4" t="n">
        <v>10.2</v>
      </c>
      <c r="G19" s="4" t="n">
        <v>8.9</v>
      </c>
    </row>
    <row r="20">
      <c r="A20" s="5" t="inlineStr">
        <is>
          <t>+10%</t>
        </is>
      </c>
      <c r="B20" s="5">
        <f>B19*(1+10.0/100)</f>
        <v/>
      </c>
      <c r="C20" s="5">
        <f>C19*(1+10.0/100)</f>
        <v/>
      </c>
      <c r="D20" s="5">
        <f>D19*(1+10.0/100)</f>
        <v/>
      </c>
      <c r="E20" s="5">
        <f>E19*(1+10.0/100)</f>
        <v/>
      </c>
      <c r="F20" s="5">
        <f>F19*(1+10.0/100)</f>
        <v/>
      </c>
      <c r="G20" s="5">
        <f>G19*(1+10.0/100)</f>
        <v/>
      </c>
    </row>
    <row r="21">
      <c r="A21" s="8" t="inlineStr">
        <is>
          <t>Деловые Линии</t>
        </is>
      </c>
      <c r="B21" s="8" t="n">
        <v>330</v>
      </c>
      <c r="C21" s="8" t="n">
        <v>390</v>
      </c>
      <c r="D21" s="8" t="n"/>
      <c r="E21" s="8" t="n">
        <v>3400</v>
      </c>
      <c r="F21" s="8" t="n">
        <v>17.9</v>
      </c>
      <c r="G21" s="8" t="n">
        <v>17.5</v>
      </c>
    </row>
    <row r="22">
      <c r="A22" s="6" t="inlineStr">
        <is>
          <t>Среднее значение</t>
        </is>
      </c>
      <c r="B22" s="6">
        <f>AVERAGE(B19:B21)</f>
        <v/>
      </c>
      <c r="C22" s="6">
        <f>AVERAGE(C19:C21)</f>
        <v/>
      </c>
      <c r="D22" s="6">
        <f>AVERAGE(D19:D21)</f>
        <v/>
      </c>
      <c r="E22" s="6">
        <f>AVERAGE(E19:E21)</f>
        <v/>
      </c>
      <c r="F22" s="6">
        <f>AVERAGE(F19:F21)</f>
        <v/>
      </c>
      <c r="G22" s="6">
        <f>AVERAGE(G19:G21)</f>
        <v/>
      </c>
    </row>
    <row r="23">
      <c r="A23" s="7" t="inlineStr">
        <is>
          <t>Новая Витэка</t>
        </is>
      </c>
      <c r="B23" s="7" t="n"/>
      <c r="C23" s="7" t="n"/>
      <c r="D23" s="7" t="n"/>
      <c r="E23" s="7" t="n"/>
      <c r="F23" s="7" t="n"/>
      <c r="G23" s="7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Наценки на цены конкурентов (%)</t>
        </is>
      </c>
    </row>
    <row r="3">
      <c r="A3" s="2" t="inlineStr">
        <is>
          <t>Конкурент</t>
        </is>
      </c>
      <c r="B3" s="2" t="inlineStr">
        <is>
          <t>Конверт</t>
        </is>
      </c>
      <c r="C3" s="2" t="inlineStr">
        <is>
          <t>Посылка до 10 кг</t>
        </is>
      </c>
      <c r="D3" s="2" t="inlineStr">
        <is>
          <t>1 место до 30 кг</t>
        </is>
      </c>
      <c r="E3" s="2" t="inlineStr">
        <is>
          <t>Груз до 0,5 куба</t>
        </is>
      </c>
      <c r="F3" s="2" t="inlineStr">
        <is>
          <t>Груз до 100 кг</t>
        </is>
      </c>
      <c r="G3" s="2" t="inlineStr">
        <is>
          <t>Груз более 3000 кг</t>
        </is>
      </c>
    </row>
    <row r="4">
      <c r="A4" s="3" t="inlineStr">
        <is>
          <t>GTD</t>
        </is>
      </c>
      <c r="B4" s="10" t="n">
        <v>2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</row>
    <row r="5">
      <c r="A5" s="3" t="inlineStr">
        <is>
          <t>Деловые Линии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2026-02-26T04:42:30Z</dcterms:created>
  <dcterms:modified xsi:type="dcterms:W3CDTF">2026-02-26T04:42:30Z</dcterms:modified>
</cp:coreProperties>
</file>