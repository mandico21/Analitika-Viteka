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анные" sheetId="1" state="visible" r:id="rId1"/>
    <sheet name="Наценк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&quot;%&quot;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  <sz val="11"/>
    </font>
    <font>
      <b val="1"/>
      <sz val="11"/>
    </font>
    <font>
      <sz val="11"/>
    </font>
    <font>
      <color rgb="001F497D"/>
      <sz val="11"/>
    </font>
  </fonts>
  <fills count="8">
    <fill>
      <patternFill/>
    </fill>
    <fill>
      <patternFill patternType="gray125"/>
    </fill>
    <fill>
      <patternFill patternType="solid">
        <fgColor rgb="00385E72"/>
        <bgColor rgb="00385E72"/>
      </patternFill>
    </fill>
    <fill>
      <patternFill patternType="solid">
        <fgColor rgb="00D9E4EC"/>
        <bgColor rgb="00D9E4EC"/>
      </patternFill>
    </fill>
    <fill>
      <patternFill patternType="solid">
        <fgColor rgb="00FFFFFF"/>
        <bgColor rgb="00FFFFFF"/>
      </patternFill>
    </fill>
    <fill>
      <patternFill patternType="solid">
        <fgColor rgb="00FFFF00"/>
        <bgColor rgb="00FFFF00"/>
      </patternFill>
    </fill>
    <fill>
      <patternFill patternType="solid">
        <fgColor rgb="00E8E8E8"/>
        <bgColor rgb="00E8E8E8"/>
      </patternFill>
    </fill>
    <fill>
      <patternFill patternType="solid">
        <fgColor rgb="00DEEAF1"/>
        <bgColor rgb="00DEEAF1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1" fillId="0" borderId="0" pivotButton="0" quotePrefix="0" xfId="0"/>
    <xf numFmtId="164" fontId="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Стоимость доставки</t>
        </is>
      </c>
    </row>
    <row r="2">
      <c r="A2" s="2" t="inlineStr">
        <is>
          <t>Стоимость доставки</t>
        </is>
      </c>
      <c r="B2" s="2" t="inlineStr">
        <is>
          <t>Конверт</t>
        </is>
      </c>
      <c r="C2" s="2" t="inlineStr">
        <is>
          <t>Посылка до 10 кг</t>
        </is>
      </c>
      <c r="D2" s="2" t="inlineStr">
        <is>
          <t>1 место до 30 кг</t>
        </is>
      </c>
      <c r="E2" s="2" t="inlineStr">
        <is>
          <t>Груз до 0,5 куба</t>
        </is>
      </c>
      <c r="F2" s="2" t="inlineStr">
        <is>
          <t>Груз до 100 кг</t>
        </is>
      </c>
      <c r="G2" s="2" t="inlineStr">
        <is>
          <t>Груз более 3000 кг</t>
        </is>
      </c>
    </row>
    <row r="3">
      <c r="A3" s="3" t="inlineStr">
        <is>
          <t>Адлер</t>
        </is>
      </c>
      <c r="B3" s="3" t="n"/>
      <c r="C3" s="3" t="n"/>
      <c r="D3" s="3" t="n"/>
      <c r="E3" s="3" t="n"/>
      <c r="F3" s="3" t="n"/>
      <c r="G3" s="3" t="n"/>
    </row>
    <row r="4">
      <c r="A4" s="4" t="inlineStr">
        <is>
          <t>GTD</t>
        </is>
      </c>
      <c r="B4" s="4">
        <f>410*(1+Наценки!B4/100)</f>
        <v/>
      </c>
      <c r="C4" s="4" t="n">
        <v>920</v>
      </c>
      <c r="D4" s="4" t="n">
        <v>920</v>
      </c>
      <c r="E4" s="4" t="n">
        <v>5664</v>
      </c>
      <c r="F4" s="4" t="n">
        <v>23.6</v>
      </c>
      <c r="G4" s="4" t="n">
        <v>20</v>
      </c>
    </row>
    <row r="5">
      <c r="A5" s="5" t="inlineStr">
        <is>
          <t>+10%</t>
        </is>
      </c>
      <c r="B5" s="5">
        <f>B4*(1+10.0/100)</f>
        <v/>
      </c>
      <c r="C5" s="5">
        <f>C4*(1+10.0/100)</f>
        <v/>
      </c>
      <c r="D5" s="5">
        <f>D4*(1+10.0/100)</f>
        <v/>
      </c>
      <c r="E5" s="5">
        <f>E4*(1+10.0/100)</f>
        <v/>
      </c>
      <c r="F5" s="5">
        <f>F4*(1+10.0/100)</f>
        <v/>
      </c>
      <c r="G5" s="5">
        <f>G4*(1+10.0/100)</f>
        <v/>
      </c>
    </row>
    <row r="6">
      <c r="A6" s="6" t="inlineStr">
        <is>
          <t>Деловые Линии</t>
        </is>
      </c>
      <c r="B6" s="6" t="n"/>
      <c r="C6" s="6" t="n"/>
      <c r="D6" s="6" t="n"/>
      <c r="E6" s="6" t="n"/>
      <c r="F6" s="6" t="n"/>
      <c r="G6" s="6" t="n"/>
    </row>
    <row r="7">
      <c r="A7" s="7" t="inlineStr">
        <is>
          <t>Среднее значение</t>
        </is>
      </c>
      <c r="B7" s="7">
        <f>AVERAGE(B4:B6)</f>
        <v/>
      </c>
      <c r="C7" s="7">
        <f>AVERAGE(C4:C6)</f>
        <v/>
      </c>
      <c r="D7" s="7">
        <f>AVERAGE(D4:D6)</f>
        <v/>
      </c>
      <c r="E7" s="7">
        <f>AVERAGE(E4:E6)</f>
        <v/>
      </c>
      <c r="F7" s="7">
        <f>AVERAGE(F4:F6)</f>
        <v/>
      </c>
      <c r="G7" s="7">
        <f>AVERAGE(G4:G6)</f>
        <v/>
      </c>
    </row>
    <row r="8">
      <c r="A8" s="8" t="inlineStr">
        <is>
          <t>Новая Витэка</t>
        </is>
      </c>
      <c r="B8" s="8" t="n"/>
      <c r="C8" s="8" t="n"/>
      <c r="D8" s="8" t="n"/>
      <c r="E8" s="8" t="n"/>
      <c r="F8" s="8" t="n"/>
      <c r="G8" s="8" t="n"/>
    </row>
    <row r="10">
      <c r="A10" s="2" t="inlineStr">
        <is>
          <t>Стоимость доставки</t>
        </is>
      </c>
      <c r="B10" s="2" t="inlineStr">
        <is>
          <t>Конверт</t>
        </is>
      </c>
      <c r="C10" s="2" t="inlineStr">
        <is>
          <t>Посылка до 10 кг</t>
        </is>
      </c>
      <c r="D10" s="2" t="inlineStr">
        <is>
          <t>1 место до 30 кг</t>
        </is>
      </c>
      <c r="E10" s="2" t="inlineStr">
        <is>
          <t>Груз до 0,5 куба</t>
        </is>
      </c>
      <c r="F10" s="2" t="inlineStr">
        <is>
          <t>Груз до 100 кг</t>
        </is>
      </c>
      <c r="G10" s="2" t="inlineStr">
        <is>
          <t>Груз более 3000 кг</t>
        </is>
      </c>
    </row>
    <row r="11">
      <c r="A11" s="3" t="inlineStr">
        <is>
          <t>Москва</t>
        </is>
      </c>
      <c r="B11" s="3" t="n"/>
      <c r="C11" s="3" t="n"/>
      <c r="D11" s="3" t="n"/>
      <c r="E11" s="3" t="n"/>
      <c r="F11" s="3" t="n"/>
      <c r="G11" s="3" t="n"/>
    </row>
    <row r="12">
      <c r="A12" s="4" t="inlineStr">
        <is>
          <t>GTD</t>
        </is>
      </c>
      <c r="B12" s="4">
        <f>270*(1+Наценки!B4/100)</f>
        <v/>
      </c>
      <c r="C12" s="4" t="n">
        <v>660</v>
      </c>
      <c r="D12" s="4" t="n">
        <v>660</v>
      </c>
      <c r="E12" s="4" t="n">
        <v>4104</v>
      </c>
      <c r="F12" s="4" t="n">
        <v>17.1</v>
      </c>
      <c r="G12" s="4" t="n">
        <v>13.8</v>
      </c>
    </row>
    <row r="13">
      <c r="A13" s="5" t="inlineStr">
        <is>
          <t>+10%</t>
        </is>
      </c>
      <c r="B13" s="5">
        <f>B12*(1+10.0/100)</f>
        <v/>
      </c>
      <c r="C13" s="5">
        <f>C12*(1+10.0/100)</f>
        <v/>
      </c>
      <c r="D13" s="5">
        <f>D12*(1+10.0/100)</f>
        <v/>
      </c>
      <c r="E13" s="5">
        <f>E12*(1+10.0/100)</f>
        <v/>
      </c>
      <c r="F13" s="5">
        <f>F12*(1+10.0/100)</f>
        <v/>
      </c>
      <c r="G13" s="5">
        <f>G12*(1+10.0/100)</f>
        <v/>
      </c>
    </row>
    <row r="14">
      <c r="A14" s="6" t="inlineStr">
        <is>
          <t>Деловые Линии</t>
        </is>
      </c>
      <c r="B14" s="6" t="n">
        <v>290</v>
      </c>
      <c r="C14" s="6" t="n">
        <v>450</v>
      </c>
      <c r="D14" s="6" t="n"/>
      <c r="E14" s="6" t="n">
        <v>5320</v>
      </c>
      <c r="F14" s="6" t="n">
        <v>26.6</v>
      </c>
      <c r="G14" s="6" t="n">
        <v>26.2</v>
      </c>
    </row>
    <row r="15">
      <c r="A15" s="7" t="inlineStr">
        <is>
          <t>Среднее значение</t>
        </is>
      </c>
      <c r="B15" s="7">
        <f>AVERAGE(B12:B14)</f>
        <v/>
      </c>
      <c r="C15" s="7">
        <f>AVERAGE(C12:C14)</f>
        <v/>
      </c>
      <c r="D15" s="7">
        <f>AVERAGE(D12:D14)</f>
        <v/>
      </c>
      <c r="E15" s="7">
        <f>AVERAGE(E12:E14)</f>
        <v/>
      </c>
      <c r="F15" s="7">
        <f>AVERAGE(F12:F14)</f>
        <v/>
      </c>
      <c r="G15" s="7">
        <f>AVERAGE(G12:G14)</f>
        <v/>
      </c>
    </row>
    <row r="16">
      <c r="A16" s="8" t="inlineStr">
        <is>
          <t>Новая Витэка</t>
        </is>
      </c>
      <c r="B16" s="8" t="n"/>
      <c r="C16" s="8" t="n"/>
      <c r="D16" s="8" t="n"/>
      <c r="E16" s="8" t="n"/>
      <c r="F16" s="8" t="n"/>
      <c r="G16" s="8" t="n"/>
    </row>
    <row r="18">
      <c r="A18" s="2" t="inlineStr">
        <is>
          <t>Стоимость доставки</t>
        </is>
      </c>
      <c r="B18" s="2" t="inlineStr">
        <is>
          <t>Конверт</t>
        </is>
      </c>
      <c r="C18" s="2" t="inlineStr">
        <is>
          <t>Посылка до 10 кг</t>
        </is>
      </c>
      <c r="D18" s="2" t="inlineStr">
        <is>
          <t>1 место до 30 кг</t>
        </is>
      </c>
      <c r="E18" s="2" t="inlineStr">
        <is>
          <t>Груз до 0,5 куба</t>
        </is>
      </c>
      <c r="F18" s="2" t="inlineStr">
        <is>
          <t>Груз до 100 кг</t>
        </is>
      </c>
      <c r="G18" s="2" t="inlineStr">
        <is>
          <t>Груз более 3000 кг</t>
        </is>
      </c>
    </row>
    <row r="19">
      <c r="A19" s="3" t="inlineStr">
        <is>
          <t>Новосибирск</t>
        </is>
      </c>
      <c r="B19" s="3" t="n"/>
      <c r="C19" s="3" t="n"/>
      <c r="D19" s="3" t="n"/>
      <c r="E19" s="3" t="n"/>
      <c r="F19" s="3" t="n"/>
      <c r="G19" s="3" t="n"/>
    </row>
    <row r="20">
      <c r="A20" s="4" t="inlineStr">
        <is>
          <t>GTD</t>
        </is>
      </c>
      <c r="B20" s="4">
        <f>250*(1+Наценки!B4/100)</f>
        <v/>
      </c>
      <c r="C20" s="4" t="n">
        <v>450</v>
      </c>
      <c r="D20" s="4" t="n">
        <v>450</v>
      </c>
      <c r="E20" s="4" t="n">
        <v>2448</v>
      </c>
      <c r="F20" s="4" t="n">
        <v>10.2</v>
      </c>
      <c r="G20" s="4" t="n">
        <v>8.9</v>
      </c>
    </row>
    <row r="21">
      <c r="A21" s="5" t="inlineStr">
        <is>
          <t>+10%</t>
        </is>
      </c>
      <c r="B21" s="5">
        <f>B20*(1+10.0/100)</f>
        <v/>
      </c>
      <c r="C21" s="5">
        <f>C20*(1+10.0/100)</f>
        <v/>
      </c>
      <c r="D21" s="5">
        <f>D20*(1+10.0/100)</f>
        <v/>
      </c>
      <c r="E21" s="5">
        <f>E20*(1+10.0/100)</f>
        <v/>
      </c>
      <c r="F21" s="5">
        <f>F20*(1+10.0/100)</f>
        <v/>
      </c>
      <c r="G21" s="5">
        <f>G20*(1+10.0/100)</f>
        <v/>
      </c>
    </row>
    <row r="22">
      <c r="A22" s="6" t="inlineStr">
        <is>
          <t>Деловые Линии</t>
        </is>
      </c>
      <c r="B22" s="6" t="n">
        <v>330</v>
      </c>
      <c r="C22" s="6" t="n">
        <v>390</v>
      </c>
      <c r="D22" s="6" t="n"/>
      <c r="E22" s="6" t="n">
        <v>3400</v>
      </c>
      <c r="F22" s="6" t="n">
        <v>17.9</v>
      </c>
      <c r="G22" s="6" t="n">
        <v>17.5</v>
      </c>
    </row>
    <row r="23">
      <c r="A23" s="7" t="inlineStr">
        <is>
          <t>Среднее значение</t>
        </is>
      </c>
      <c r="B23" s="7">
        <f>AVERAGE(B20:B22)</f>
        <v/>
      </c>
      <c r="C23" s="7">
        <f>AVERAGE(C20:C22)</f>
        <v/>
      </c>
      <c r="D23" s="7">
        <f>AVERAGE(D20:D22)</f>
        <v/>
      </c>
      <c r="E23" s="7">
        <f>AVERAGE(E20:E22)</f>
        <v/>
      </c>
      <c r="F23" s="7">
        <f>AVERAGE(F20:F22)</f>
        <v/>
      </c>
      <c r="G23" s="7">
        <f>AVERAGE(G20:G22)</f>
        <v/>
      </c>
    </row>
    <row r="24">
      <c r="A24" s="8" t="inlineStr">
        <is>
          <t>Новая Витэка</t>
        </is>
      </c>
      <c r="B24" s="8" t="n"/>
      <c r="C24" s="8" t="n"/>
      <c r="D24" s="8" t="n"/>
      <c r="E24" s="8" t="n"/>
      <c r="F24" s="8" t="n"/>
      <c r="G24" s="8" t="n"/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9" t="inlineStr">
        <is>
          <t>Наценки на цены конкурентов (%)</t>
        </is>
      </c>
    </row>
    <row r="3">
      <c r="A3" s="2" t="inlineStr">
        <is>
          <t>Конкурент</t>
        </is>
      </c>
      <c r="B3" s="2" t="inlineStr">
        <is>
          <t>Конверт</t>
        </is>
      </c>
      <c r="C3" s="2" t="inlineStr">
        <is>
          <t>Посылка до 10 кг</t>
        </is>
      </c>
      <c r="D3" s="2" t="inlineStr">
        <is>
          <t>1 место до 30 кг</t>
        </is>
      </c>
      <c r="E3" s="2" t="inlineStr">
        <is>
          <t>Груз до 0,5 куба</t>
        </is>
      </c>
      <c r="F3" s="2" t="inlineStr">
        <is>
          <t>Груз до 100 кг</t>
        </is>
      </c>
      <c r="G3" s="2" t="inlineStr">
        <is>
          <t>Груз более 3000 кг</t>
        </is>
      </c>
    </row>
    <row r="4">
      <c r="A4" s="3" t="inlineStr">
        <is>
          <t>GTD</t>
        </is>
      </c>
      <c r="B4" s="10" t="n">
        <v>2</v>
      </c>
      <c r="C4" s="10" t="n">
        <v>0</v>
      </c>
      <c r="D4" s="10" t="n">
        <v>0</v>
      </c>
      <c r="E4" s="10" t="n">
        <v>0</v>
      </c>
      <c r="F4" s="10" t="n">
        <v>0</v>
      </c>
      <c r="G4" s="10" t="n">
        <v>0</v>
      </c>
    </row>
    <row r="5">
      <c r="A5" s="3" t="inlineStr">
        <is>
          <t>Деловые Линии</t>
        </is>
      </c>
      <c r="B5" s="10" t="n">
        <v>0</v>
      </c>
      <c r="C5" s="10" t="n">
        <v>0</v>
      </c>
      <c r="D5" s="10" t="n">
        <v>0</v>
      </c>
      <c r="E5" s="10" t="n">
        <v>0</v>
      </c>
      <c r="F5" s="10" t="n">
        <v>0</v>
      </c>
      <c r="G5" s="10" t="n">
        <v>0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2026-02-26T04:08:00Z</dcterms:created>
  <dcterms:modified xsi:type="dcterms:W3CDTF">2026-02-26T04:08:01Z</dcterms:modified>
</cp:coreProperties>
</file>