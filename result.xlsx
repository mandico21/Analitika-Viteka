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Нацен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&quot;%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sz val="11"/>
    </font>
    <font>
      <color rgb="001F497D"/>
      <sz val="11"/>
    </font>
  </fonts>
  <fills count="7">
    <fill>
      <patternFill/>
    </fill>
    <fill>
      <patternFill patternType="gray125"/>
    </fill>
    <fill>
      <patternFill patternType="solid">
        <fgColor rgb="00385E72"/>
        <bgColor rgb="00385E72"/>
      </patternFill>
    </fill>
    <fill>
      <patternFill patternType="solid">
        <fgColor rgb="00D9E4EC"/>
        <bgColor rgb="00D9E4EC"/>
      </patternFill>
    </fill>
    <fill>
      <patternFill patternType="solid">
        <fgColor rgb="00FFFFFF"/>
        <bgColor rgb="00FFFFFF"/>
      </patternFill>
    </fill>
    <fill>
      <patternFill patternType="solid">
        <fgColor rgb="00E8E8E8"/>
        <bgColor rgb="00E8E8E8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" fillId="0" borderId="0" pivotButton="0" quotePrefix="0" xfId="0"/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Стоимость доставки — из Новосибирска</t>
        </is>
      </c>
    </row>
    <row r="2">
      <c r="A2" s="2" t="inlineStr">
        <is>
          <t>Стоимость доставки</t>
        </is>
      </c>
      <c r="B2" s="2" t="inlineStr">
        <is>
          <t>Конверт</t>
        </is>
      </c>
      <c r="C2" s="2" t="inlineStr">
        <is>
          <t>Посылка до 10 кг</t>
        </is>
      </c>
      <c r="D2" s="2" t="inlineStr">
        <is>
          <t>1 место до 30 кг</t>
        </is>
      </c>
      <c r="E2" s="2" t="inlineStr">
        <is>
          <t>Груз до 0,5 куба</t>
        </is>
      </c>
      <c r="F2" s="2" t="inlineStr">
        <is>
          <t>Груз до 100 кг</t>
        </is>
      </c>
      <c r="G2" s="2" t="inlineStr">
        <is>
          <t>Груз более 3000 кг</t>
        </is>
      </c>
    </row>
    <row r="3">
      <c r="A3" s="3" t="inlineStr">
        <is>
          <t>Волгоград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GTD</t>
        </is>
      </c>
      <c r="B4" s="4" t="n"/>
      <c r="C4" s="4" t="n"/>
      <c r="D4" s="4" t="n">
        <v>590</v>
      </c>
      <c r="E4" s="4" t="n"/>
      <c r="F4" s="4" t="n"/>
      <c r="G4" s="4" t="n">
        <v>18.5</v>
      </c>
    </row>
    <row r="5">
      <c r="A5" s="5" t="inlineStr">
        <is>
          <t>Среднее значение</t>
        </is>
      </c>
      <c r="B5" s="5">
        <f>AVERAGE(B4:B4)</f>
        <v/>
      </c>
      <c r="C5" s="5">
        <f>AVERAGE(C4:C4)</f>
        <v/>
      </c>
      <c r="D5" s="5">
        <f>AVERAGE(D4:D4)</f>
        <v/>
      </c>
      <c r="E5" s="5">
        <f>AVERAGE(E4:E4)</f>
        <v/>
      </c>
      <c r="F5" s="5">
        <f>AVERAGE(F4:F4)</f>
        <v/>
      </c>
      <c r="G5" s="5">
        <f>AVERAGE(G4:G4)</f>
        <v/>
      </c>
    </row>
    <row r="6">
      <c r="A6" s="6" t="inlineStr">
        <is>
          <t>Новая Витэка</t>
        </is>
      </c>
      <c r="B6" s="6" t="n"/>
      <c r="C6" s="6" t="n"/>
      <c r="D6" s="6" t="n"/>
      <c r="E6" s="6" t="n"/>
      <c r="F6" s="6" t="n"/>
      <c r="G6" s="6" t="n"/>
    </row>
    <row r="8">
      <c r="A8" s="2" t="inlineStr">
        <is>
          <t>Стоимость доставки</t>
        </is>
      </c>
      <c r="B8" s="2" t="inlineStr">
        <is>
          <t>Конверт</t>
        </is>
      </c>
      <c r="C8" s="2" t="inlineStr">
        <is>
          <t>Посылка до 10 кг</t>
        </is>
      </c>
      <c r="D8" s="2" t="inlineStr">
        <is>
          <t>1 место до 30 кг</t>
        </is>
      </c>
      <c r="E8" s="2" t="inlineStr">
        <is>
          <t>Груз до 0,5 куба</t>
        </is>
      </c>
      <c r="F8" s="2" t="inlineStr">
        <is>
          <t>Груз до 100 кг</t>
        </is>
      </c>
      <c r="G8" s="2" t="inlineStr">
        <is>
          <t>Груз более 3000 кг</t>
        </is>
      </c>
    </row>
    <row r="9">
      <c r="A9" s="3" t="inlineStr">
        <is>
          <t>Воронеж</t>
        </is>
      </c>
      <c r="B9" s="3" t="n"/>
      <c r="C9" s="3" t="n"/>
      <c r="D9" s="3" t="n"/>
      <c r="E9" s="3" t="n"/>
      <c r="F9" s="3" t="n"/>
      <c r="G9" s="3" t="n"/>
    </row>
    <row r="10">
      <c r="A10" s="4" t="inlineStr">
        <is>
          <t>GTD</t>
        </is>
      </c>
      <c r="B10" s="4" t="n"/>
      <c r="C10" s="4" t="n"/>
      <c r="D10" s="4" t="n">
        <v>710</v>
      </c>
      <c r="E10" s="4" t="n"/>
      <c r="F10" s="4" t="n"/>
      <c r="G10" s="4" t="n">
        <v>22</v>
      </c>
    </row>
    <row r="11">
      <c r="A11" s="5" t="inlineStr">
        <is>
          <t>Среднее значение</t>
        </is>
      </c>
      <c r="B11" s="5">
        <f>AVERAGE(B10:B10)</f>
        <v/>
      </c>
      <c r="C11" s="5">
        <f>AVERAGE(C10:C10)</f>
        <v/>
      </c>
      <c r="D11" s="5">
        <f>AVERAGE(D10:D10)</f>
        <v/>
      </c>
      <c r="E11" s="5">
        <f>AVERAGE(E10:E10)</f>
        <v/>
      </c>
      <c r="F11" s="5">
        <f>AVERAGE(F10:F10)</f>
        <v/>
      </c>
      <c r="G11" s="5">
        <f>AVERAGE(G10:G10)</f>
        <v/>
      </c>
    </row>
    <row r="12">
      <c r="A12" s="6" t="inlineStr">
        <is>
          <t>Новая Витэка</t>
        </is>
      </c>
      <c r="B12" s="6" t="n"/>
      <c r="C12" s="6" t="n"/>
      <c r="D12" s="6" t="n"/>
      <c r="E12" s="6" t="n"/>
      <c r="F12" s="6" t="n"/>
      <c r="G12" s="6" t="n"/>
    </row>
    <row r="14">
      <c r="A14" s="2" t="inlineStr">
        <is>
          <t>Стоимость доставки</t>
        </is>
      </c>
      <c r="B14" s="2" t="inlineStr">
        <is>
          <t>Конверт</t>
        </is>
      </c>
      <c r="C14" s="2" t="inlineStr">
        <is>
          <t>Посылка до 10 кг</t>
        </is>
      </c>
      <c r="D14" s="2" t="inlineStr">
        <is>
          <t>1 место до 30 кг</t>
        </is>
      </c>
      <c r="E14" s="2" t="inlineStr">
        <is>
          <t>Груз до 0,5 куба</t>
        </is>
      </c>
      <c r="F14" s="2" t="inlineStr">
        <is>
          <t>Груз до 100 кг</t>
        </is>
      </c>
      <c r="G14" s="2" t="inlineStr">
        <is>
          <t>Груз более 3000 кг</t>
        </is>
      </c>
    </row>
    <row r="15">
      <c r="A15" s="3" t="inlineStr">
        <is>
          <t>Екатеринбург</t>
        </is>
      </c>
      <c r="B15" s="3" t="n"/>
      <c r="C15" s="3" t="n"/>
      <c r="D15" s="3" t="n"/>
      <c r="E15" s="3" t="n"/>
      <c r="F15" s="3" t="n"/>
      <c r="G15" s="3" t="n"/>
    </row>
    <row r="16">
      <c r="A16" s="4" t="inlineStr">
        <is>
          <t>GTD</t>
        </is>
      </c>
      <c r="B16" s="4" t="n"/>
      <c r="C16" s="4" t="n"/>
      <c r="D16" s="4" t="n">
        <v>510</v>
      </c>
      <c r="E16" s="4" t="n"/>
      <c r="F16" s="4" t="n"/>
      <c r="G16" s="4" t="n">
        <v>14.4</v>
      </c>
    </row>
    <row r="17">
      <c r="A17" s="5" t="inlineStr">
        <is>
          <t>Среднее значение</t>
        </is>
      </c>
      <c r="B17" s="5">
        <f>AVERAGE(B16:B16)</f>
        <v/>
      </c>
      <c r="C17" s="5">
        <f>AVERAGE(C16:C16)</f>
        <v/>
      </c>
      <c r="D17" s="5">
        <f>AVERAGE(D16:D16)</f>
        <v/>
      </c>
      <c r="E17" s="5">
        <f>AVERAGE(E16:E16)</f>
        <v/>
      </c>
      <c r="F17" s="5">
        <f>AVERAGE(F16:F16)</f>
        <v/>
      </c>
      <c r="G17" s="5">
        <f>AVERAGE(G16:G16)</f>
        <v/>
      </c>
    </row>
    <row r="18">
      <c r="A18" s="6" t="inlineStr">
        <is>
          <t>Новая Витэка</t>
        </is>
      </c>
      <c r="B18" s="6" t="n"/>
      <c r="C18" s="6" t="n"/>
      <c r="D18" s="6" t="n"/>
      <c r="E18" s="6" t="n"/>
      <c r="F18" s="6" t="n"/>
      <c r="G18" s="6" t="n"/>
    </row>
    <row r="20">
      <c r="A20" s="2" t="inlineStr">
        <is>
          <t>Стоимость доставки</t>
        </is>
      </c>
      <c r="B20" s="2" t="inlineStr">
        <is>
          <t>Конверт</t>
        </is>
      </c>
      <c r="C20" s="2" t="inlineStr">
        <is>
          <t>Посылка до 10 кг</t>
        </is>
      </c>
      <c r="D20" s="2" t="inlineStr">
        <is>
          <t>1 место до 30 кг</t>
        </is>
      </c>
      <c r="E20" s="2" t="inlineStr">
        <is>
          <t>Груз до 0,5 куба</t>
        </is>
      </c>
      <c r="F20" s="2" t="inlineStr">
        <is>
          <t>Груз до 100 кг</t>
        </is>
      </c>
      <c r="G20" s="2" t="inlineStr">
        <is>
          <t>Груз более 3000 кг</t>
        </is>
      </c>
    </row>
    <row r="21">
      <c r="A21" s="3" t="inlineStr">
        <is>
          <t>Иркутск</t>
        </is>
      </c>
      <c r="B21" s="3" t="n"/>
      <c r="C21" s="3" t="n"/>
      <c r="D21" s="3" t="n"/>
      <c r="E21" s="3" t="n"/>
      <c r="F21" s="3" t="n"/>
      <c r="G21" s="3" t="n"/>
    </row>
    <row r="22">
      <c r="A22" s="4" t="inlineStr">
        <is>
          <t>GTD</t>
        </is>
      </c>
      <c r="B22" s="4" t="n"/>
      <c r="C22" s="4" t="n"/>
      <c r="D22" s="4" t="n">
        <v>350</v>
      </c>
      <c r="E22" s="4" t="n"/>
      <c r="F22" s="4" t="n"/>
      <c r="G22" s="4" t="n">
        <v>5.7</v>
      </c>
    </row>
    <row r="23">
      <c r="A23" s="5" t="inlineStr">
        <is>
          <t>Среднее значение</t>
        </is>
      </c>
      <c r="B23" s="5">
        <f>AVERAGE(B22:B22)</f>
        <v/>
      </c>
      <c r="C23" s="5">
        <f>AVERAGE(C22:C22)</f>
        <v/>
      </c>
      <c r="D23" s="5">
        <f>AVERAGE(D22:D22)</f>
        <v/>
      </c>
      <c r="E23" s="5">
        <f>AVERAGE(E22:E22)</f>
        <v/>
      </c>
      <c r="F23" s="5">
        <f>AVERAGE(F22:F22)</f>
        <v/>
      </c>
      <c r="G23" s="5">
        <f>AVERAGE(G22:G22)</f>
        <v/>
      </c>
    </row>
    <row r="24">
      <c r="A24" s="6" t="inlineStr">
        <is>
          <t>Новая Витэка</t>
        </is>
      </c>
      <c r="B24" s="6" t="n"/>
      <c r="C24" s="6" t="n"/>
      <c r="D24" s="6" t="n"/>
      <c r="E24" s="6" t="n"/>
      <c r="F24" s="6" t="n"/>
      <c r="G24" s="6" t="n"/>
    </row>
    <row r="26">
      <c r="A26" s="2" t="inlineStr">
        <is>
          <t>Стоимость доставки</t>
        </is>
      </c>
      <c r="B26" s="2" t="inlineStr">
        <is>
          <t>Конверт</t>
        </is>
      </c>
      <c r="C26" s="2" t="inlineStr">
        <is>
          <t>Посылка до 10 кг</t>
        </is>
      </c>
      <c r="D26" s="2" t="inlineStr">
        <is>
          <t>1 место до 30 кг</t>
        </is>
      </c>
      <c r="E26" s="2" t="inlineStr">
        <is>
          <t>Груз до 0,5 куба</t>
        </is>
      </c>
      <c r="F26" s="2" t="inlineStr">
        <is>
          <t>Груз до 100 кг</t>
        </is>
      </c>
      <c r="G26" s="2" t="inlineStr">
        <is>
          <t>Груз более 3000 кг</t>
        </is>
      </c>
    </row>
    <row r="27">
      <c r="A27" s="3" t="inlineStr">
        <is>
          <t>Казань</t>
        </is>
      </c>
      <c r="B27" s="3" t="n"/>
      <c r="C27" s="3" t="n"/>
      <c r="D27" s="3" t="n"/>
      <c r="E27" s="3" t="n"/>
      <c r="F27" s="3" t="n"/>
      <c r="G27" s="3" t="n"/>
    </row>
    <row r="28">
      <c r="A28" s="4" t="inlineStr">
        <is>
          <t>GTD</t>
        </is>
      </c>
      <c r="B28" s="4" t="n"/>
      <c r="C28" s="4" t="n"/>
      <c r="D28" s="4" t="n">
        <v>570</v>
      </c>
      <c r="E28" s="4" t="n"/>
      <c r="F28" s="4" t="n"/>
      <c r="G28" s="4" t="n">
        <v>15.4</v>
      </c>
    </row>
    <row r="29">
      <c r="A29" s="5" t="inlineStr">
        <is>
          <t>Среднее значение</t>
        </is>
      </c>
      <c r="B29" s="5">
        <f>AVERAGE(B28:B28)</f>
        <v/>
      </c>
      <c r="C29" s="5">
        <f>AVERAGE(C28:C28)</f>
        <v/>
      </c>
      <c r="D29" s="5">
        <f>AVERAGE(D28:D28)</f>
        <v/>
      </c>
      <c r="E29" s="5">
        <f>AVERAGE(E28:E28)</f>
        <v/>
      </c>
      <c r="F29" s="5">
        <f>AVERAGE(F28:F28)</f>
        <v/>
      </c>
      <c r="G29" s="5">
        <f>AVERAGE(G28:G28)</f>
        <v/>
      </c>
    </row>
    <row r="30">
      <c r="A30" s="6" t="inlineStr">
        <is>
          <t>Новая Витэка</t>
        </is>
      </c>
      <c r="B30" s="6" t="n"/>
      <c r="C30" s="6" t="n"/>
      <c r="D30" s="6" t="n"/>
      <c r="E30" s="6" t="n"/>
      <c r="F30" s="6" t="n"/>
      <c r="G30" s="6" t="n"/>
    </row>
    <row r="32">
      <c r="A32" s="2" t="inlineStr">
        <is>
          <t>Стоимость доставки</t>
        </is>
      </c>
      <c r="B32" s="2" t="inlineStr">
        <is>
          <t>Конверт</t>
        </is>
      </c>
      <c r="C32" s="2" t="inlineStr">
        <is>
          <t>Посылка до 10 кг</t>
        </is>
      </c>
      <c r="D32" s="2" t="inlineStr">
        <is>
          <t>1 место до 30 кг</t>
        </is>
      </c>
      <c r="E32" s="2" t="inlineStr">
        <is>
          <t>Груз до 0,5 куба</t>
        </is>
      </c>
      <c r="F32" s="2" t="inlineStr">
        <is>
          <t>Груз до 100 кг</t>
        </is>
      </c>
      <c r="G32" s="2" t="inlineStr">
        <is>
          <t>Груз более 3000 кг</t>
        </is>
      </c>
    </row>
    <row r="33">
      <c r="A33" s="3" t="inlineStr">
        <is>
          <t>Кемерово</t>
        </is>
      </c>
      <c r="B33" s="3" t="n"/>
      <c r="C33" s="3" t="n"/>
      <c r="D33" s="3" t="n"/>
      <c r="E33" s="3" t="n"/>
      <c r="F33" s="3" t="n"/>
      <c r="G33" s="3" t="n"/>
    </row>
    <row r="34">
      <c r="A34" s="4" t="inlineStr">
        <is>
          <t>GTD</t>
        </is>
      </c>
      <c r="B34" s="4" t="n"/>
      <c r="C34" s="4" t="n"/>
      <c r="D34" s="4" t="n">
        <v>460</v>
      </c>
      <c r="E34" s="4" t="n"/>
      <c r="F34" s="4" t="n"/>
      <c r="G34" s="4" t="n">
        <v>12.9</v>
      </c>
    </row>
    <row r="35">
      <c r="A35" s="5" t="inlineStr">
        <is>
          <t>Среднее значение</t>
        </is>
      </c>
      <c r="B35" s="5">
        <f>AVERAGE(B34:B34)</f>
        <v/>
      </c>
      <c r="C35" s="5">
        <f>AVERAGE(C34:C34)</f>
        <v/>
      </c>
      <c r="D35" s="5">
        <f>AVERAGE(D34:D34)</f>
        <v/>
      </c>
      <c r="E35" s="5">
        <f>AVERAGE(E34:E34)</f>
        <v/>
      </c>
      <c r="F35" s="5">
        <f>AVERAGE(F34:F34)</f>
        <v/>
      </c>
      <c r="G35" s="5">
        <f>AVERAGE(G34:G34)</f>
        <v/>
      </c>
    </row>
    <row r="36">
      <c r="A36" s="6" t="inlineStr">
        <is>
          <t>Новая Витэка</t>
        </is>
      </c>
      <c r="B36" s="6" t="n"/>
      <c r="C36" s="6" t="n"/>
      <c r="D36" s="6" t="n"/>
      <c r="E36" s="6" t="n"/>
      <c r="F36" s="6" t="n"/>
      <c r="G36" s="6" t="n"/>
    </row>
    <row r="38">
      <c r="A38" s="2" t="inlineStr">
        <is>
          <t>Стоимость доставки</t>
        </is>
      </c>
      <c r="B38" s="2" t="inlineStr">
        <is>
          <t>Конверт</t>
        </is>
      </c>
      <c r="C38" s="2" t="inlineStr">
        <is>
          <t>Посылка до 10 кг</t>
        </is>
      </c>
      <c r="D38" s="2" t="inlineStr">
        <is>
          <t>1 место до 30 кг</t>
        </is>
      </c>
      <c r="E38" s="2" t="inlineStr">
        <is>
          <t>Груз до 0,5 куба</t>
        </is>
      </c>
      <c r="F38" s="2" t="inlineStr">
        <is>
          <t>Груз до 100 кг</t>
        </is>
      </c>
      <c r="G38" s="2" t="inlineStr">
        <is>
          <t>Груз более 3000 кг</t>
        </is>
      </c>
    </row>
    <row r="39">
      <c r="A39" s="3" t="inlineStr">
        <is>
          <t>Краснодар</t>
        </is>
      </c>
      <c r="B39" s="3" t="n"/>
      <c r="C39" s="3" t="n"/>
      <c r="D39" s="3" t="n"/>
      <c r="E39" s="3" t="n"/>
      <c r="F39" s="3" t="n"/>
      <c r="G39" s="3" t="n"/>
    </row>
    <row r="40">
      <c r="A40" s="4" t="inlineStr">
        <is>
          <t>GTD</t>
        </is>
      </c>
      <c r="B40" s="4" t="n"/>
      <c r="C40" s="4" t="n"/>
      <c r="D40" s="4" t="n">
        <v>590</v>
      </c>
      <c r="E40" s="4" t="n"/>
      <c r="F40" s="4" t="n"/>
      <c r="G40" s="4" t="n">
        <v>19.9</v>
      </c>
    </row>
    <row r="41">
      <c r="A41" s="5" t="inlineStr">
        <is>
          <t>Среднее значение</t>
        </is>
      </c>
      <c r="B41" s="5">
        <f>AVERAGE(B40:B40)</f>
        <v/>
      </c>
      <c r="C41" s="5">
        <f>AVERAGE(C40:C40)</f>
        <v/>
      </c>
      <c r="D41" s="5">
        <f>AVERAGE(D40:D40)</f>
        <v/>
      </c>
      <c r="E41" s="5">
        <f>AVERAGE(E40:E40)</f>
        <v/>
      </c>
      <c r="F41" s="5">
        <f>AVERAGE(F40:F40)</f>
        <v/>
      </c>
      <c r="G41" s="5">
        <f>AVERAGE(G40:G40)</f>
        <v/>
      </c>
    </row>
    <row r="42">
      <c r="A42" s="6" t="inlineStr">
        <is>
          <t>Новая Витэка</t>
        </is>
      </c>
      <c r="B42" s="6" t="n"/>
      <c r="C42" s="6" t="n"/>
      <c r="D42" s="6" t="n"/>
      <c r="E42" s="6" t="n"/>
      <c r="F42" s="6" t="n"/>
      <c r="G42" s="6" t="n"/>
    </row>
    <row r="44">
      <c r="A44" s="2" t="inlineStr">
        <is>
          <t>Стоимость доставки</t>
        </is>
      </c>
      <c r="B44" s="2" t="inlineStr">
        <is>
          <t>Конверт</t>
        </is>
      </c>
      <c r="C44" s="2" t="inlineStr">
        <is>
          <t>Посылка до 10 кг</t>
        </is>
      </c>
      <c r="D44" s="2" t="inlineStr">
        <is>
          <t>1 место до 30 кг</t>
        </is>
      </c>
      <c r="E44" s="2" t="inlineStr">
        <is>
          <t>Груз до 0,5 куба</t>
        </is>
      </c>
      <c r="F44" s="2" t="inlineStr">
        <is>
          <t>Груз до 100 кг</t>
        </is>
      </c>
      <c r="G44" s="2" t="inlineStr">
        <is>
          <t>Груз более 3000 кг</t>
        </is>
      </c>
    </row>
    <row r="45">
      <c r="A45" s="3" t="inlineStr">
        <is>
          <t>Москва</t>
        </is>
      </c>
      <c r="B45" s="3" t="n"/>
      <c r="C45" s="3" t="n"/>
      <c r="D45" s="3" t="n"/>
      <c r="E45" s="3" t="n"/>
      <c r="F45" s="3" t="n"/>
      <c r="G45" s="3" t="n"/>
    </row>
    <row r="46">
      <c r="A46" s="4" t="inlineStr">
        <is>
          <t>GTD</t>
        </is>
      </c>
      <c r="B46" s="4" t="n"/>
      <c r="C46" s="4" t="n"/>
      <c r="D46" s="4" t="n">
        <v>500</v>
      </c>
      <c r="E46" s="4" t="n"/>
      <c r="F46" s="4" t="n"/>
      <c r="G46" s="4" t="n">
        <v>14.6</v>
      </c>
    </row>
    <row r="47">
      <c r="A47" s="5" t="inlineStr">
        <is>
          <t>Среднее значение</t>
        </is>
      </c>
      <c r="B47" s="5">
        <f>AVERAGE(B46:B46)</f>
        <v/>
      </c>
      <c r="C47" s="5">
        <f>AVERAGE(C46:C46)</f>
        <v/>
      </c>
      <c r="D47" s="5">
        <f>AVERAGE(D46:D46)</f>
        <v/>
      </c>
      <c r="E47" s="5">
        <f>AVERAGE(E46:E46)</f>
        <v/>
      </c>
      <c r="F47" s="5">
        <f>AVERAGE(F46:F46)</f>
        <v/>
      </c>
      <c r="G47" s="5">
        <f>AVERAGE(G46:G46)</f>
        <v/>
      </c>
    </row>
    <row r="48">
      <c r="A48" s="6" t="inlineStr">
        <is>
          <t>Новая Витэка</t>
        </is>
      </c>
      <c r="B48" s="6" t="n"/>
      <c r="C48" s="6" t="n"/>
      <c r="D48" s="6" t="n"/>
      <c r="E48" s="6" t="n"/>
      <c r="F48" s="6" t="n"/>
      <c r="G48" s="6" t="n"/>
    </row>
    <row r="50">
      <c r="A50" s="2" t="inlineStr">
        <is>
          <t>Стоимость доставки</t>
        </is>
      </c>
      <c r="B50" s="2" t="inlineStr">
        <is>
          <t>Конверт</t>
        </is>
      </c>
      <c r="C50" s="2" t="inlineStr">
        <is>
          <t>Посылка до 10 кг</t>
        </is>
      </c>
      <c r="D50" s="2" t="inlineStr">
        <is>
          <t>1 место до 30 кг</t>
        </is>
      </c>
      <c r="E50" s="2" t="inlineStr">
        <is>
          <t>Груз до 0,5 куба</t>
        </is>
      </c>
      <c r="F50" s="2" t="inlineStr">
        <is>
          <t>Груз до 100 кг</t>
        </is>
      </c>
      <c r="G50" s="2" t="inlineStr">
        <is>
          <t>Груз более 3000 кг</t>
        </is>
      </c>
    </row>
    <row r="51">
      <c r="A51" s="3" t="inlineStr">
        <is>
          <t>Нижний Новгород</t>
        </is>
      </c>
      <c r="B51" s="3" t="n"/>
      <c r="C51" s="3" t="n"/>
      <c r="D51" s="3" t="n"/>
      <c r="E51" s="3" t="n"/>
      <c r="F51" s="3" t="n"/>
      <c r="G51" s="3" t="n"/>
    </row>
    <row r="52">
      <c r="A52" s="4" t="inlineStr">
        <is>
          <t>GTD</t>
        </is>
      </c>
      <c r="B52" s="4" t="n"/>
      <c r="C52" s="4" t="n"/>
      <c r="D52" s="4" t="n">
        <v>520</v>
      </c>
      <c r="E52" s="4" t="n"/>
      <c r="F52" s="4" t="n"/>
      <c r="G52" s="4" t="n">
        <v>16.3</v>
      </c>
    </row>
    <row r="53">
      <c r="A53" s="5" t="inlineStr">
        <is>
          <t>Среднее значение</t>
        </is>
      </c>
      <c r="B53" s="5">
        <f>AVERAGE(B52:B52)</f>
        <v/>
      </c>
      <c r="C53" s="5">
        <f>AVERAGE(C52:C52)</f>
        <v/>
      </c>
      <c r="D53" s="5">
        <f>AVERAGE(D52:D52)</f>
        <v/>
      </c>
      <c r="E53" s="5">
        <f>AVERAGE(E52:E52)</f>
        <v/>
      </c>
      <c r="F53" s="5">
        <f>AVERAGE(F52:F52)</f>
        <v/>
      </c>
      <c r="G53" s="5">
        <f>AVERAGE(G52:G52)</f>
        <v/>
      </c>
    </row>
    <row r="54">
      <c r="A54" s="6" t="inlineStr">
        <is>
          <t>Новая Витэка</t>
        </is>
      </c>
      <c r="B54" s="6" t="n"/>
      <c r="C54" s="6" t="n"/>
      <c r="D54" s="6" t="n"/>
      <c r="E54" s="6" t="n"/>
      <c r="F54" s="6" t="n"/>
      <c r="G54" s="6" t="n"/>
    </row>
    <row r="56">
      <c r="A56" s="2" t="inlineStr">
        <is>
          <t>Стоимость доставки</t>
        </is>
      </c>
      <c r="B56" s="2" t="inlineStr">
        <is>
          <t>Конверт</t>
        </is>
      </c>
      <c r="C56" s="2" t="inlineStr">
        <is>
          <t>Посылка до 10 кг</t>
        </is>
      </c>
      <c r="D56" s="2" t="inlineStr">
        <is>
          <t>1 место до 30 кг</t>
        </is>
      </c>
      <c r="E56" s="2" t="inlineStr">
        <is>
          <t>Груз до 0,5 куба</t>
        </is>
      </c>
      <c r="F56" s="2" t="inlineStr">
        <is>
          <t>Груз до 100 кг</t>
        </is>
      </c>
      <c r="G56" s="2" t="inlineStr">
        <is>
          <t>Груз более 3000 кг</t>
        </is>
      </c>
    </row>
    <row r="57">
      <c r="A57" s="3" t="inlineStr">
        <is>
          <t>Новосибирск</t>
        </is>
      </c>
      <c r="B57" s="3" t="n"/>
      <c r="C57" s="3" t="n"/>
      <c r="D57" s="3" t="n"/>
      <c r="E57" s="3" t="n"/>
      <c r="F57" s="3" t="n"/>
      <c r="G57" s="3" t="n"/>
    </row>
    <row r="58">
      <c r="A58" s="4" t="inlineStr">
        <is>
          <t>GTD</t>
        </is>
      </c>
      <c r="B58" s="4" t="n"/>
      <c r="C58" s="4" t="n"/>
      <c r="D58" s="4" t="n">
        <v>400</v>
      </c>
      <c r="E58" s="4" t="n"/>
      <c r="F58" s="4" t="n"/>
      <c r="G58" s="4" t="n">
        <v>9.800000000000001</v>
      </c>
    </row>
    <row r="59">
      <c r="A59" s="5" t="inlineStr">
        <is>
          <t>Среднее значение</t>
        </is>
      </c>
      <c r="B59" s="5">
        <f>AVERAGE(B58:B58)</f>
        <v/>
      </c>
      <c r="C59" s="5">
        <f>AVERAGE(C58:C58)</f>
        <v/>
      </c>
      <c r="D59" s="5">
        <f>AVERAGE(D58:D58)</f>
        <v/>
      </c>
      <c r="E59" s="5">
        <f>AVERAGE(E58:E58)</f>
        <v/>
      </c>
      <c r="F59" s="5">
        <f>AVERAGE(F58:F58)</f>
        <v/>
      </c>
      <c r="G59" s="5">
        <f>AVERAGE(G58:G58)</f>
        <v/>
      </c>
    </row>
    <row r="60">
      <c r="A60" s="6" t="inlineStr">
        <is>
          <t>Новая Витэка</t>
        </is>
      </c>
      <c r="B60" s="6" t="n"/>
      <c r="C60" s="6" t="n"/>
      <c r="D60" s="6" t="n"/>
      <c r="E60" s="6" t="n"/>
      <c r="F60" s="6" t="n"/>
      <c r="G60" s="6" t="n"/>
    </row>
    <row r="62">
      <c r="A62" s="2" t="inlineStr">
        <is>
          <t>Стоимость доставки</t>
        </is>
      </c>
      <c r="B62" s="2" t="inlineStr">
        <is>
          <t>Конверт</t>
        </is>
      </c>
      <c r="C62" s="2" t="inlineStr">
        <is>
          <t>Посылка до 10 кг</t>
        </is>
      </c>
      <c r="D62" s="2" t="inlineStr">
        <is>
          <t>1 место до 30 кг</t>
        </is>
      </c>
      <c r="E62" s="2" t="inlineStr">
        <is>
          <t>Груз до 0,5 куба</t>
        </is>
      </c>
      <c r="F62" s="2" t="inlineStr">
        <is>
          <t>Груз до 100 кг</t>
        </is>
      </c>
      <c r="G62" s="2" t="inlineStr">
        <is>
          <t>Груз более 3000 кг</t>
        </is>
      </c>
    </row>
    <row r="63">
      <c r="A63" s="3" t="inlineStr">
        <is>
          <t>Омск</t>
        </is>
      </c>
      <c r="B63" s="3" t="n"/>
      <c r="C63" s="3" t="n"/>
      <c r="D63" s="3" t="n"/>
      <c r="E63" s="3" t="n"/>
      <c r="F63" s="3" t="n"/>
      <c r="G63" s="3" t="n"/>
    </row>
    <row r="64">
      <c r="A64" s="4" t="inlineStr">
        <is>
          <t>GTD</t>
        </is>
      </c>
      <c r="B64" s="4" t="n"/>
      <c r="C64" s="4" t="n"/>
      <c r="D64" s="4" t="n">
        <v>460</v>
      </c>
      <c r="E64" s="4" t="n"/>
      <c r="F64" s="4" t="n"/>
      <c r="G64" s="4" t="n">
        <v>13.4</v>
      </c>
    </row>
    <row r="65">
      <c r="A65" s="5" t="inlineStr">
        <is>
          <t>Среднее значение</t>
        </is>
      </c>
      <c r="B65" s="5">
        <f>AVERAGE(B64:B64)</f>
        <v/>
      </c>
      <c r="C65" s="5">
        <f>AVERAGE(C64:C64)</f>
        <v/>
      </c>
      <c r="D65" s="5">
        <f>AVERAGE(D64:D64)</f>
        <v/>
      </c>
      <c r="E65" s="5">
        <f>AVERAGE(E64:E64)</f>
        <v/>
      </c>
      <c r="F65" s="5">
        <f>AVERAGE(F64:F64)</f>
        <v/>
      </c>
      <c r="G65" s="5">
        <f>AVERAGE(G64:G64)</f>
        <v/>
      </c>
    </row>
    <row r="66">
      <c r="A66" s="6" t="inlineStr">
        <is>
          <t>Новая Витэка</t>
        </is>
      </c>
      <c r="B66" s="6" t="n"/>
      <c r="C66" s="6" t="n"/>
      <c r="D66" s="6" t="n"/>
      <c r="E66" s="6" t="n"/>
      <c r="F66" s="6" t="n"/>
      <c r="G66" s="6" t="n"/>
    </row>
    <row r="68">
      <c r="A68" s="2" t="inlineStr">
        <is>
          <t>Стоимость доставки</t>
        </is>
      </c>
      <c r="B68" s="2" t="inlineStr">
        <is>
          <t>Конверт</t>
        </is>
      </c>
      <c r="C68" s="2" t="inlineStr">
        <is>
          <t>Посылка до 10 кг</t>
        </is>
      </c>
      <c r="D68" s="2" t="inlineStr">
        <is>
          <t>1 место до 30 кг</t>
        </is>
      </c>
      <c r="E68" s="2" t="inlineStr">
        <is>
          <t>Груз до 0,5 куба</t>
        </is>
      </c>
      <c r="F68" s="2" t="inlineStr">
        <is>
          <t>Груз до 100 кг</t>
        </is>
      </c>
      <c r="G68" s="2" t="inlineStr">
        <is>
          <t>Груз более 3000 кг</t>
        </is>
      </c>
    </row>
    <row r="69">
      <c r="A69" s="3" t="inlineStr">
        <is>
          <t>Пермь</t>
        </is>
      </c>
      <c r="B69" s="3" t="n"/>
      <c r="C69" s="3" t="n"/>
      <c r="D69" s="3" t="n"/>
      <c r="E69" s="3" t="n"/>
      <c r="F69" s="3" t="n"/>
      <c r="G69" s="3" t="n"/>
    </row>
    <row r="70">
      <c r="A70" s="4" t="inlineStr">
        <is>
          <t>GTD</t>
        </is>
      </c>
      <c r="B70" s="4" t="n"/>
      <c r="C70" s="4" t="n"/>
      <c r="D70" s="4" t="n">
        <v>500</v>
      </c>
      <c r="E70" s="4" t="n"/>
      <c r="F70" s="4" t="n"/>
      <c r="G70" s="4" t="n">
        <v>16.3</v>
      </c>
    </row>
    <row r="71">
      <c r="A71" s="5" t="inlineStr">
        <is>
          <t>Среднее значение</t>
        </is>
      </c>
      <c r="B71" s="5">
        <f>AVERAGE(B70:B70)</f>
        <v/>
      </c>
      <c r="C71" s="5">
        <f>AVERAGE(C70:C70)</f>
        <v/>
      </c>
      <c r="D71" s="5">
        <f>AVERAGE(D70:D70)</f>
        <v/>
      </c>
      <c r="E71" s="5">
        <f>AVERAGE(E70:E70)</f>
        <v/>
      </c>
      <c r="F71" s="5">
        <f>AVERAGE(F70:F70)</f>
        <v/>
      </c>
      <c r="G71" s="5">
        <f>AVERAGE(G70:G70)</f>
        <v/>
      </c>
    </row>
    <row r="72">
      <c r="A72" s="6" t="inlineStr">
        <is>
          <t>Новая Витэка</t>
        </is>
      </c>
      <c r="B72" s="6" t="n"/>
      <c r="C72" s="6" t="n"/>
      <c r="D72" s="6" t="n"/>
      <c r="E72" s="6" t="n"/>
      <c r="F72" s="6" t="n"/>
      <c r="G72" s="6" t="n"/>
    </row>
    <row r="74">
      <c r="A74" s="2" t="inlineStr">
        <is>
          <t>Стоимость доставки</t>
        </is>
      </c>
      <c r="B74" s="2" t="inlineStr">
        <is>
          <t>Конверт</t>
        </is>
      </c>
      <c r="C74" s="2" t="inlineStr">
        <is>
          <t>Посылка до 10 кг</t>
        </is>
      </c>
      <c r="D74" s="2" t="inlineStr">
        <is>
          <t>1 место до 30 кг</t>
        </is>
      </c>
      <c r="E74" s="2" t="inlineStr">
        <is>
          <t>Груз до 0,5 куба</t>
        </is>
      </c>
      <c r="F74" s="2" t="inlineStr">
        <is>
          <t>Груз до 100 кг</t>
        </is>
      </c>
      <c r="G74" s="2" t="inlineStr">
        <is>
          <t>Груз более 3000 кг</t>
        </is>
      </c>
    </row>
    <row r="75">
      <c r="A75" s="3" t="inlineStr">
        <is>
          <t>Ростов-на-Дону</t>
        </is>
      </c>
      <c r="B75" s="3" t="n"/>
      <c r="C75" s="3" t="n"/>
      <c r="D75" s="3" t="n"/>
      <c r="E75" s="3" t="n"/>
      <c r="F75" s="3" t="n"/>
      <c r="G75" s="3" t="n"/>
    </row>
    <row r="76">
      <c r="A76" s="4" t="inlineStr">
        <is>
          <t>GTD</t>
        </is>
      </c>
      <c r="B76" s="4" t="n"/>
      <c r="C76" s="4" t="n"/>
      <c r="D76" s="4" t="n">
        <v>590</v>
      </c>
      <c r="E76" s="4" t="n"/>
      <c r="F76" s="4" t="n"/>
      <c r="G76" s="4" t="n">
        <v>19.5</v>
      </c>
    </row>
    <row r="77">
      <c r="A77" s="5" t="inlineStr">
        <is>
          <t>Среднее значение</t>
        </is>
      </c>
      <c r="B77" s="5">
        <f>AVERAGE(B76:B76)</f>
        <v/>
      </c>
      <c r="C77" s="5">
        <f>AVERAGE(C76:C76)</f>
        <v/>
      </c>
      <c r="D77" s="5">
        <f>AVERAGE(D76:D76)</f>
        <v/>
      </c>
      <c r="E77" s="5">
        <f>AVERAGE(E76:E76)</f>
        <v/>
      </c>
      <c r="F77" s="5">
        <f>AVERAGE(F76:F76)</f>
        <v/>
      </c>
      <c r="G77" s="5">
        <f>AVERAGE(G76:G76)</f>
        <v/>
      </c>
    </row>
    <row r="78">
      <c r="A78" s="6" t="inlineStr">
        <is>
          <t>Новая Витэка</t>
        </is>
      </c>
      <c r="B78" s="6" t="n"/>
      <c r="C78" s="6" t="n"/>
      <c r="D78" s="6" t="n"/>
      <c r="E78" s="6" t="n"/>
      <c r="F78" s="6" t="n"/>
      <c r="G78" s="6" t="n"/>
    </row>
    <row r="80">
      <c r="A80" s="2" t="inlineStr">
        <is>
          <t>Стоимость доставки</t>
        </is>
      </c>
      <c r="B80" s="2" t="inlineStr">
        <is>
          <t>Конверт</t>
        </is>
      </c>
      <c r="C80" s="2" t="inlineStr">
        <is>
          <t>Посылка до 10 кг</t>
        </is>
      </c>
      <c r="D80" s="2" t="inlineStr">
        <is>
          <t>1 место до 30 кг</t>
        </is>
      </c>
      <c r="E80" s="2" t="inlineStr">
        <is>
          <t>Груз до 0,5 куба</t>
        </is>
      </c>
      <c r="F80" s="2" t="inlineStr">
        <is>
          <t>Груз до 100 кг</t>
        </is>
      </c>
      <c r="G80" s="2" t="inlineStr">
        <is>
          <t>Груз более 3000 кг</t>
        </is>
      </c>
    </row>
    <row r="81">
      <c r="A81" s="3" t="inlineStr">
        <is>
          <t>Самара</t>
        </is>
      </c>
      <c r="B81" s="3" t="n"/>
      <c r="C81" s="3" t="n"/>
      <c r="D81" s="3" t="n"/>
      <c r="E81" s="3" t="n"/>
      <c r="F81" s="3" t="n"/>
      <c r="G81" s="3" t="n"/>
    </row>
    <row r="82">
      <c r="A82" s="4" t="inlineStr">
        <is>
          <t>GTD</t>
        </is>
      </c>
      <c r="B82" s="4" t="n"/>
      <c r="C82" s="4" t="n"/>
      <c r="D82" s="4" t="n">
        <v>570</v>
      </c>
      <c r="E82" s="4" t="n"/>
      <c r="F82" s="4" t="n"/>
      <c r="G82" s="4" t="n">
        <v>17.3</v>
      </c>
    </row>
    <row r="83">
      <c r="A83" s="5" t="inlineStr">
        <is>
          <t>Среднее значение</t>
        </is>
      </c>
      <c r="B83" s="5">
        <f>AVERAGE(B82:B82)</f>
        <v/>
      </c>
      <c r="C83" s="5">
        <f>AVERAGE(C82:C82)</f>
        <v/>
      </c>
      <c r="D83" s="5">
        <f>AVERAGE(D82:D82)</f>
        <v/>
      </c>
      <c r="E83" s="5">
        <f>AVERAGE(E82:E82)</f>
        <v/>
      </c>
      <c r="F83" s="5">
        <f>AVERAGE(F82:F82)</f>
        <v/>
      </c>
      <c r="G83" s="5">
        <f>AVERAGE(G82:G82)</f>
        <v/>
      </c>
    </row>
    <row r="84">
      <c r="A84" s="6" t="inlineStr">
        <is>
          <t>Новая Витэка</t>
        </is>
      </c>
      <c r="B84" s="6" t="n"/>
      <c r="C84" s="6" t="n"/>
      <c r="D84" s="6" t="n"/>
      <c r="E84" s="6" t="n"/>
      <c r="F84" s="6" t="n"/>
      <c r="G84" s="6" t="n"/>
    </row>
    <row r="86">
      <c r="A86" s="2" t="inlineStr">
        <is>
          <t>Стоимость доставки</t>
        </is>
      </c>
      <c r="B86" s="2" t="inlineStr">
        <is>
          <t>Конверт</t>
        </is>
      </c>
      <c r="C86" s="2" t="inlineStr">
        <is>
          <t>Посылка до 10 кг</t>
        </is>
      </c>
      <c r="D86" s="2" t="inlineStr">
        <is>
          <t>1 место до 30 кг</t>
        </is>
      </c>
      <c r="E86" s="2" t="inlineStr">
        <is>
          <t>Груз до 0,5 куба</t>
        </is>
      </c>
      <c r="F86" s="2" t="inlineStr">
        <is>
          <t>Груз до 100 кг</t>
        </is>
      </c>
      <c r="G86" s="2" t="inlineStr">
        <is>
          <t>Груз более 3000 кг</t>
        </is>
      </c>
    </row>
    <row r="87">
      <c r="A87" s="3" t="inlineStr">
        <is>
          <t>Санкт-Петербург</t>
        </is>
      </c>
      <c r="B87" s="3" t="n"/>
      <c r="C87" s="3" t="n"/>
      <c r="D87" s="3" t="n"/>
      <c r="E87" s="3" t="n"/>
      <c r="F87" s="3" t="n"/>
      <c r="G87" s="3" t="n"/>
    </row>
    <row r="88">
      <c r="A88" s="4" t="inlineStr">
        <is>
          <t>GTD</t>
        </is>
      </c>
      <c r="B88" s="4" t="n"/>
      <c r="C88" s="4" t="n"/>
      <c r="D88" s="4" t="n">
        <v>600</v>
      </c>
      <c r="E88" s="4" t="n"/>
      <c r="F88" s="4" t="n"/>
      <c r="G88" s="4" t="n">
        <v>18.7</v>
      </c>
    </row>
    <row r="89">
      <c r="A89" s="5" t="inlineStr">
        <is>
          <t>Среднее значение</t>
        </is>
      </c>
      <c r="B89" s="5">
        <f>AVERAGE(B88:B88)</f>
        <v/>
      </c>
      <c r="C89" s="5">
        <f>AVERAGE(C88:C88)</f>
        <v/>
      </c>
      <c r="D89" s="5">
        <f>AVERAGE(D88:D88)</f>
        <v/>
      </c>
      <c r="E89" s="5">
        <f>AVERAGE(E88:E88)</f>
        <v/>
      </c>
      <c r="F89" s="5">
        <f>AVERAGE(F88:F88)</f>
        <v/>
      </c>
      <c r="G89" s="5">
        <f>AVERAGE(G88:G88)</f>
        <v/>
      </c>
    </row>
    <row r="90">
      <c r="A90" s="6" t="inlineStr">
        <is>
          <t>Новая Витэка</t>
        </is>
      </c>
      <c r="B90" s="6" t="n"/>
      <c r="C90" s="6" t="n"/>
      <c r="D90" s="6" t="n"/>
      <c r="E90" s="6" t="n"/>
      <c r="F90" s="6" t="n"/>
      <c r="G90" s="6" t="n"/>
    </row>
    <row r="92">
      <c r="A92" s="2" t="inlineStr">
        <is>
          <t>Стоимость доставки</t>
        </is>
      </c>
      <c r="B92" s="2" t="inlineStr">
        <is>
          <t>Конверт</t>
        </is>
      </c>
      <c r="C92" s="2" t="inlineStr">
        <is>
          <t>Посылка до 10 кг</t>
        </is>
      </c>
      <c r="D92" s="2" t="inlineStr">
        <is>
          <t>1 место до 30 кг</t>
        </is>
      </c>
      <c r="E92" s="2" t="inlineStr">
        <is>
          <t>Груз до 0,5 куба</t>
        </is>
      </c>
      <c r="F92" s="2" t="inlineStr">
        <is>
          <t>Груз до 100 кг</t>
        </is>
      </c>
      <c r="G92" s="2" t="inlineStr">
        <is>
          <t>Груз более 3000 кг</t>
        </is>
      </c>
    </row>
    <row r="93">
      <c r="A93" s="3" t="inlineStr">
        <is>
          <t>Тольятти</t>
        </is>
      </c>
      <c r="B93" s="3" t="n"/>
      <c r="C93" s="3" t="n"/>
      <c r="D93" s="3" t="n"/>
      <c r="E93" s="3" t="n"/>
      <c r="F93" s="3" t="n"/>
      <c r="G93" s="3" t="n"/>
    </row>
    <row r="94">
      <c r="A94" s="4" t="inlineStr">
        <is>
          <t>GTD</t>
        </is>
      </c>
      <c r="B94" s="4" t="n"/>
      <c r="C94" s="4" t="n"/>
      <c r="D94" s="4" t="n">
        <v>570</v>
      </c>
      <c r="E94" s="4" t="n"/>
      <c r="F94" s="4" t="n"/>
      <c r="G94" s="4" t="n">
        <v>17.5</v>
      </c>
    </row>
    <row r="95">
      <c r="A95" s="5" t="inlineStr">
        <is>
          <t>Среднее значение</t>
        </is>
      </c>
      <c r="B95" s="5">
        <f>AVERAGE(B94:B94)</f>
        <v/>
      </c>
      <c r="C95" s="5">
        <f>AVERAGE(C94:C94)</f>
        <v/>
      </c>
      <c r="D95" s="5">
        <f>AVERAGE(D94:D94)</f>
        <v/>
      </c>
      <c r="E95" s="5">
        <f>AVERAGE(E94:E94)</f>
        <v/>
      </c>
      <c r="F95" s="5">
        <f>AVERAGE(F94:F94)</f>
        <v/>
      </c>
      <c r="G95" s="5">
        <f>AVERAGE(G94:G94)</f>
        <v/>
      </c>
    </row>
    <row r="96">
      <c r="A96" s="6" t="inlineStr">
        <is>
          <t>Новая Витэка</t>
        </is>
      </c>
      <c r="B96" s="6" t="n"/>
      <c r="C96" s="6" t="n"/>
      <c r="D96" s="6" t="n"/>
      <c r="E96" s="6" t="n"/>
      <c r="F96" s="6" t="n"/>
      <c r="G96" s="6" t="n"/>
    </row>
    <row r="98">
      <c r="A98" s="2" t="inlineStr">
        <is>
          <t>Стоимость доставки</t>
        </is>
      </c>
      <c r="B98" s="2" t="inlineStr">
        <is>
          <t>Конверт</t>
        </is>
      </c>
      <c r="C98" s="2" t="inlineStr">
        <is>
          <t>Посылка до 10 кг</t>
        </is>
      </c>
      <c r="D98" s="2" t="inlineStr">
        <is>
          <t>1 место до 30 кг</t>
        </is>
      </c>
      <c r="E98" s="2" t="inlineStr">
        <is>
          <t>Груз до 0,5 куба</t>
        </is>
      </c>
      <c r="F98" s="2" t="inlineStr">
        <is>
          <t>Груз до 100 кг</t>
        </is>
      </c>
      <c r="G98" s="2" t="inlineStr">
        <is>
          <t>Груз более 3000 кг</t>
        </is>
      </c>
    </row>
    <row r="99">
      <c r="A99" s="3" t="inlineStr">
        <is>
          <t>Томск</t>
        </is>
      </c>
      <c r="B99" s="3" t="n"/>
      <c r="C99" s="3" t="n"/>
      <c r="D99" s="3" t="n"/>
      <c r="E99" s="3" t="n"/>
      <c r="F99" s="3" t="n"/>
      <c r="G99" s="3" t="n"/>
    </row>
    <row r="100">
      <c r="A100" s="4" t="inlineStr">
        <is>
          <t>GTD</t>
        </is>
      </c>
      <c r="B100" s="4" t="n"/>
      <c r="C100" s="4" t="n"/>
      <c r="D100" s="4" t="n">
        <v>450</v>
      </c>
      <c r="E100" s="4" t="n"/>
      <c r="F100" s="4" t="n"/>
      <c r="G100" s="4" t="n">
        <v>13.7</v>
      </c>
    </row>
    <row r="101">
      <c r="A101" s="5" t="inlineStr">
        <is>
          <t>Среднее значение</t>
        </is>
      </c>
      <c r="B101" s="5">
        <f>AVERAGE(B100:B100)</f>
        <v/>
      </c>
      <c r="C101" s="5">
        <f>AVERAGE(C100:C100)</f>
        <v/>
      </c>
      <c r="D101" s="5">
        <f>AVERAGE(D100:D100)</f>
        <v/>
      </c>
      <c r="E101" s="5">
        <f>AVERAGE(E100:E100)</f>
        <v/>
      </c>
      <c r="F101" s="5">
        <f>AVERAGE(F100:F100)</f>
        <v/>
      </c>
      <c r="G101" s="5">
        <f>AVERAGE(G100:G100)</f>
        <v/>
      </c>
    </row>
    <row r="102">
      <c r="A102" s="6" t="inlineStr">
        <is>
          <t>Новая Витэка</t>
        </is>
      </c>
      <c r="B102" s="6" t="n"/>
      <c r="C102" s="6" t="n"/>
      <c r="D102" s="6" t="n"/>
      <c r="E102" s="6" t="n"/>
      <c r="F102" s="6" t="n"/>
      <c r="G102" s="6" t="n"/>
    </row>
    <row r="104">
      <c r="A104" s="2" t="inlineStr">
        <is>
          <t>Стоимость доставки</t>
        </is>
      </c>
      <c r="B104" s="2" t="inlineStr">
        <is>
          <t>Конверт</t>
        </is>
      </c>
      <c r="C104" s="2" t="inlineStr">
        <is>
          <t>Посылка до 10 кг</t>
        </is>
      </c>
      <c r="D104" s="2" t="inlineStr">
        <is>
          <t>1 место до 30 кг</t>
        </is>
      </c>
      <c r="E104" s="2" t="inlineStr">
        <is>
          <t>Груз до 0,5 куба</t>
        </is>
      </c>
      <c r="F104" s="2" t="inlineStr">
        <is>
          <t>Груз до 100 кг</t>
        </is>
      </c>
      <c r="G104" s="2" t="inlineStr">
        <is>
          <t>Груз более 3000 кг</t>
        </is>
      </c>
    </row>
    <row r="105">
      <c r="A105" s="3" t="inlineStr">
        <is>
          <t>Тюмень</t>
        </is>
      </c>
      <c r="B105" s="3" t="n"/>
      <c r="C105" s="3" t="n"/>
      <c r="D105" s="3" t="n"/>
      <c r="E105" s="3" t="n"/>
      <c r="F105" s="3" t="n"/>
      <c r="G105" s="3" t="n"/>
    </row>
    <row r="106">
      <c r="A106" s="4" t="inlineStr">
        <is>
          <t>GTD</t>
        </is>
      </c>
      <c r="B106" s="4" t="n"/>
      <c r="C106" s="4" t="n"/>
      <c r="D106" s="4" t="n">
        <v>510</v>
      </c>
      <c r="E106" s="4" t="n"/>
      <c r="F106" s="4" t="n"/>
      <c r="G106" s="4" t="n">
        <v>14.9</v>
      </c>
    </row>
    <row r="107">
      <c r="A107" s="5" t="inlineStr">
        <is>
          <t>Среднее значение</t>
        </is>
      </c>
      <c r="B107" s="5">
        <f>AVERAGE(B106:B106)</f>
        <v/>
      </c>
      <c r="C107" s="5">
        <f>AVERAGE(C106:C106)</f>
        <v/>
      </c>
      <c r="D107" s="5">
        <f>AVERAGE(D106:D106)</f>
        <v/>
      </c>
      <c r="E107" s="5">
        <f>AVERAGE(E106:E106)</f>
        <v/>
      </c>
      <c r="F107" s="5">
        <f>AVERAGE(F106:F106)</f>
        <v/>
      </c>
      <c r="G107" s="5">
        <f>AVERAGE(G106:G106)</f>
        <v/>
      </c>
    </row>
    <row r="108">
      <c r="A108" s="6" t="inlineStr">
        <is>
          <t>Новая Витэка</t>
        </is>
      </c>
      <c r="B108" s="6" t="n"/>
      <c r="C108" s="6" t="n"/>
      <c r="D108" s="6" t="n"/>
      <c r="E108" s="6" t="n"/>
      <c r="F108" s="6" t="n"/>
      <c r="G108" s="6" t="n"/>
    </row>
    <row r="110">
      <c r="A110" s="2" t="inlineStr">
        <is>
          <t>Стоимость доставки</t>
        </is>
      </c>
      <c r="B110" s="2" t="inlineStr">
        <is>
          <t>Конверт</t>
        </is>
      </c>
      <c r="C110" s="2" t="inlineStr">
        <is>
          <t>Посылка до 10 кг</t>
        </is>
      </c>
      <c r="D110" s="2" t="inlineStr">
        <is>
          <t>1 место до 30 кг</t>
        </is>
      </c>
      <c r="E110" s="2" t="inlineStr">
        <is>
          <t>Груз до 0,5 куба</t>
        </is>
      </c>
      <c r="F110" s="2" t="inlineStr">
        <is>
          <t>Груз до 100 кг</t>
        </is>
      </c>
      <c r="G110" s="2" t="inlineStr">
        <is>
          <t>Груз более 3000 кг</t>
        </is>
      </c>
    </row>
    <row r="111">
      <c r="A111" s="3" t="inlineStr">
        <is>
          <t>Уфа</t>
        </is>
      </c>
      <c r="B111" s="3" t="n"/>
      <c r="C111" s="3" t="n"/>
      <c r="D111" s="3" t="n"/>
      <c r="E111" s="3" t="n"/>
      <c r="F111" s="3" t="n"/>
      <c r="G111" s="3" t="n"/>
    </row>
    <row r="112">
      <c r="A112" s="4" t="inlineStr">
        <is>
          <t>GTD</t>
        </is>
      </c>
      <c r="B112" s="4" t="n"/>
      <c r="C112" s="4" t="n"/>
      <c r="D112" s="4" t="n">
        <v>520</v>
      </c>
      <c r="E112" s="4" t="n"/>
      <c r="F112" s="4" t="n"/>
      <c r="G112" s="4" t="n">
        <v>16.1</v>
      </c>
    </row>
    <row r="113">
      <c r="A113" s="5" t="inlineStr">
        <is>
          <t>Среднее значение</t>
        </is>
      </c>
      <c r="B113" s="5">
        <f>AVERAGE(B112:B112)</f>
        <v/>
      </c>
      <c r="C113" s="5">
        <f>AVERAGE(C112:C112)</f>
        <v/>
      </c>
      <c r="D113" s="5">
        <f>AVERAGE(D112:D112)</f>
        <v/>
      </c>
      <c r="E113" s="5">
        <f>AVERAGE(E112:E112)</f>
        <v/>
      </c>
      <c r="F113" s="5">
        <f>AVERAGE(F112:F112)</f>
        <v/>
      </c>
      <c r="G113" s="5">
        <f>AVERAGE(G112:G112)</f>
        <v/>
      </c>
    </row>
    <row r="114">
      <c r="A114" s="6" t="inlineStr">
        <is>
          <t>Новая Витэка</t>
        </is>
      </c>
      <c r="B114" s="6" t="n"/>
      <c r="C114" s="6" t="n"/>
      <c r="D114" s="6" t="n"/>
      <c r="E114" s="6" t="n"/>
      <c r="F114" s="6" t="n"/>
      <c r="G114" s="6" t="n"/>
    </row>
    <row r="116">
      <c r="A116" s="2" t="inlineStr">
        <is>
          <t>Стоимость доставки</t>
        </is>
      </c>
      <c r="B116" s="2" t="inlineStr">
        <is>
          <t>Конверт</t>
        </is>
      </c>
      <c r="C116" s="2" t="inlineStr">
        <is>
          <t>Посылка до 10 кг</t>
        </is>
      </c>
      <c r="D116" s="2" t="inlineStr">
        <is>
          <t>1 место до 30 кг</t>
        </is>
      </c>
      <c r="E116" s="2" t="inlineStr">
        <is>
          <t>Груз до 0,5 куба</t>
        </is>
      </c>
      <c r="F116" s="2" t="inlineStr">
        <is>
          <t>Груз до 100 кг</t>
        </is>
      </c>
      <c r="G116" s="2" t="inlineStr">
        <is>
          <t>Груз более 3000 кг</t>
        </is>
      </c>
    </row>
    <row r="117">
      <c r="A117" s="3" t="inlineStr">
        <is>
          <t>Челябинск</t>
        </is>
      </c>
      <c r="B117" s="3" t="n"/>
      <c r="C117" s="3" t="n"/>
      <c r="D117" s="3" t="n"/>
      <c r="E117" s="3" t="n"/>
      <c r="F117" s="3" t="n"/>
      <c r="G117" s="3" t="n"/>
    </row>
    <row r="118">
      <c r="A118" s="4" t="inlineStr">
        <is>
          <t>GTD</t>
        </is>
      </c>
      <c r="B118" s="4" t="n"/>
      <c r="C118" s="4" t="n"/>
      <c r="D118" s="4" t="n">
        <v>510</v>
      </c>
      <c r="E118" s="4" t="n"/>
      <c r="F118" s="4" t="n"/>
      <c r="G118" s="4" t="n">
        <v>15.3</v>
      </c>
    </row>
    <row r="119">
      <c r="A119" s="5" t="inlineStr">
        <is>
          <t>Среднее значение</t>
        </is>
      </c>
      <c r="B119" s="5">
        <f>AVERAGE(B118:B118)</f>
        <v/>
      </c>
      <c r="C119" s="5">
        <f>AVERAGE(C118:C118)</f>
        <v/>
      </c>
      <c r="D119" s="5">
        <f>AVERAGE(D118:D118)</f>
        <v/>
      </c>
      <c r="E119" s="5">
        <f>AVERAGE(E118:E118)</f>
        <v/>
      </c>
      <c r="F119" s="5">
        <f>AVERAGE(F118:F118)</f>
        <v/>
      </c>
      <c r="G119" s="5">
        <f>AVERAGE(G118:G118)</f>
        <v/>
      </c>
    </row>
    <row r="120">
      <c r="A120" s="6" t="inlineStr">
        <is>
          <t>Новая Витэка</t>
        </is>
      </c>
      <c r="B120" s="6" t="n"/>
      <c r="C120" s="6" t="n"/>
      <c r="D120" s="6" t="n"/>
      <c r="E120" s="6" t="n"/>
      <c r="F120" s="6" t="n"/>
      <c r="G120" s="6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7" t="inlineStr">
        <is>
          <t>Наценки на цены конкурентов (%)</t>
        </is>
      </c>
    </row>
    <row r="3">
      <c r="A3" s="2" t="inlineStr">
        <is>
          <t>Конкурент</t>
        </is>
      </c>
      <c r="B3" s="2" t="inlineStr">
        <is>
          <t>Конверт</t>
        </is>
      </c>
      <c r="C3" s="2" t="inlineStr">
        <is>
          <t>Посылка до 10 кг</t>
        </is>
      </c>
      <c r="D3" s="2" t="inlineStr">
        <is>
          <t>1 место до 30 кг</t>
        </is>
      </c>
      <c r="E3" s="2" t="inlineStr">
        <is>
          <t>Груз до 0,5 куба</t>
        </is>
      </c>
      <c r="F3" s="2" t="inlineStr">
        <is>
          <t>Груз до 100 кг</t>
        </is>
      </c>
      <c r="G3" s="2" t="inlineStr">
        <is>
          <t>Груз более 3000 кг</t>
        </is>
      </c>
    </row>
    <row r="4">
      <c r="A4" s="3" t="inlineStr">
        <is>
          <t>GTD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2026-02-26T04:15:55Z</dcterms:created>
  <dcterms:modified xsi:type="dcterms:W3CDTF">2026-02-26T04:15:55Z</dcterms:modified>
</cp:coreProperties>
</file>